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Year" sheetId="2" state="visible" r:id="rId2"/>
    <sheet name="By Ward" sheetId="3" state="visible" r:id="rId3"/>
    <sheet name="By Mon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2933"/>
    </font>
    <font>
      <b val="1"/>
      <color rgb="00FFFFFF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5F3EF"/>
      </patternFill>
    </fill>
    <fill>
      <patternFill patternType="solid">
        <fgColor rgb="00E34948"/>
      </patternFill>
    </fill>
    <fill>
      <patternFill patternType="solid">
        <fgColor rgb="00EDA100"/>
      </patternFill>
    </fill>
    <fill>
      <patternFill patternType="solid">
        <fgColor rgb="002A78D6"/>
      </patternFill>
    </fill>
    <fill>
      <patternFill patternType="solid">
        <fgColor rgb="001BAF7A"/>
      </patternFill>
    </fill>
    <fill>
      <patternFill patternType="solid">
        <fgColor rgb="00EFEBE3"/>
      </patternFill>
    </fill>
  </fills>
  <borders count="2">
    <border>
      <left/>
      <right/>
      <top/>
      <bottom/>
      <diagonal/>
    </border>
    <border>
      <left style="thin">
        <color rgb="00D9D6CE"/>
      </left>
      <right style="thin">
        <color rgb="00D9D6CE"/>
      </right>
      <top style="thin">
        <color rgb="00D9D6CE"/>
      </top>
      <bottom style="thin">
        <color rgb="00D9D6C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indent="1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 indent="1"/>
    </xf>
    <xf numFmtId="3" fontId="0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 indent="1"/>
    </xf>
    <xf numFmtId="0" fontId="4" fillId="6" borderId="1" applyAlignment="1" pivotButton="0" quotePrefix="0" xfId="0">
      <alignment vertical="center" indent="1"/>
    </xf>
    <xf numFmtId="0" fontId="4" fillId="7" borderId="1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indent="1"/>
    </xf>
    <xf numFmtId="164" fontId="0" fillId="3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Component share</a:t>
            </a:r>
          </a:p>
        </rich>
      </tx>
      <overlay val="0"/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E34948"/>
              </a:solidFill>
              <a:ln>
                <a:prstDash val="solid"/>
              </a:ln>
            </spPr>
          </dPt>
          <dPt>
            <idx val="1"/>
            <spPr>
              <a:solidFill>
                <a:srgbClr val="EDA100"/>
              </a:solidFill>
              <a:ln>
                <a:prstDash val="solid"/>
              </a:ln>
            </spPr>
          </dPt>
          <dPt>
            <idx val="2"/>
            <spPr>
              <a:solidFill>
                <a:srgbClr val="2A78D6"/>
              </a:solidFill>
              <a:ln>
                <a:prstDash val="solid"/>
              </a:ln>
            </spPr>
          </dPt>
          <dPt>
            <idx val="3"/>
            <spPr>
              <a:solidFill>
                <a:srgbClr val="1BAF7A"/>
              </a:solidFill>
              <a:ln>
                <a:prstDash val="solid"/>
              </a:ln>
            </spPr>
          </dPt>
          <cat>
            <numRef>
              <f>'Summary'!$A$14:$A$17</f>
            </numRef>
          </cat>
          <val>
            <numRef>
              <f>'Summary'!$B$14:$B$17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Yearly issuance by component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'By Year'!B2</f>
            </strRef>
          </tx>
          <spPr>
            <a:solidFill>
              <a:srgbClr val="E34948"/>
            </a:solidFill>
            <a:ln>
              <a:prstDash val="solid"/>
            </a:ln>
          </spPr>
          <cat>
            <numRef>
              <f>'By Year'!$A$3:$A$5</f>
            </numRef>
          </cat>
          <val>
            <numRef>
              <f>'By Year'!$B$3:$B$5</f>
            </numRef>
          </val>
        </ser>
        <ser>
          <idx val="1"/>
          <order val="1"/>
          <tx>
            <strRef>
              <f>'By Year'!C2</f>
            </strRef>
          </tx>
          <spPr>
            <a:solidFill>
              <a:srgbClr val="EDA100"/>
            </a:solidFill>
            <a:ln>
              <a:prstDash val="solid"/>
            </a:ln>
          </spPr>
          <cat>
            <numRef>
              <f>'By Year'!$A$3:$A$5</f>
            </numRef>
          </cat>
          <val>
            <numRef>
              <f>'By Year'!$C$3:$C$5</f>
            </numRef>
          </val>
        </ser>
        <ser>
          <idx val="2"/>
          <order val="2"/>
          <tx>
            <strRef>
              <f>'By Year'!D2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'By Year'!$A$3:$A$5</f>
            </numRef>
          </cat>
          <val>
            <numRef>
              <f>'By Year'!$D$3:$D$5</f>
            </numRef>
          </val>
        </ser>
        <ser>
          <idx val="3"/>
          <order val="3"/>
          <tx>
            <strRef>
              <f>'By Year'!E2</f>
            </strRef>
          </tx>
          <spPr>
            <a:solidFill>
              <a:srgbClr val="1BAF7A"/>
            </a:solidFill>
            <a:ln>
              <a:prstDash val="solid"/>
            </a:ln>
          </spPr>
          <cat>
            <numRef>
              <f>'By Year'!$A$3:$A$5</f>
            </numRef>
          </cat>
          <val>
            <numRef>
              <f>'By Year'!$E$3:$E$5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Units issued</a:t>
                </a:r>
              </a:p>
            </rich>
          </tx>
          <overlay val="0"/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Issued by ward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'By Ward'!B2</f>
            </strRef>
          </tx>
          <spPr>
            <a:solidFill>
              <a:srgbClr val="E34948"/>
            </a:solidFill>
            <a:ln>
              <a:prstDash val="solid"/>
            </a:ln>
          </spPr>
          <cat>
            <numRef>
              <f>'By Ward'!$A$3:$A$13</f>
            </numRef>
          </cat>
          <val>
            <numRef>
              <f>'By Ward'!$B$3:$B$13</f>
            </numRef>
          </val>
        </ser>
        <ser>
          <idx val="1"/>
          <order val="1"/>
          <tx>
            <strRef>
              <f>'By Ward'!C2</f>
            </strRef>
          </tx>
          <spPr>
            <a:solidFill>
              <a:srgbClr val="EDA100"/>
            </a:solidFill>
            <a:ln>
              <a:prstDash val="solid"/>
            </a:ln>
          </spPr>
          <cat>
            <numRef>
              <f>'By Ward'!$A$3:$A$13</f>
            </numRef>
          </cat>
          <val>
            <numRef>
              <f>'By Ward'!$C$3:$C$13</f>
            </numRef>
          </val>
        </ser>
        <ser>
          <idx val="2"/>
          <order val="2"/>
          <tx>
            <strRef>
              <f>'By Ward'!D2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'By Ward'!$A$3:$A$13</f>
            </numRef>
          </cat>
          <val>
            <numRef>
              <f>'By Ward'!$D$3:$D$13</f>
            </numRef>
          </val>
        </ser>
        <ser>
          <idx val="3"/>
          <order val="3"/>
          <tx>
            <strRef>
              <f>'By Ward'!E2</f>
            </strRef>
          </tx>
          <spPr>
            <a:solidFill>
              <a:srgbClr val="1BAF7A"/>
            </a:solidFill>
            <a:ln>
              <a:prstDash val="solid"/>
            </a:ln>
          </spPr>
          <cat>
            <numRef>
              <f>'By Ward'!$A$3:$A$13</f>
            </numRef>
          </cat>
          <val>
            <numRef>
              <f>'By Ward'!$E$3:$E$13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Ward / Floor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Units issued</a:t>
                </a:r>
              </a:p>
            </rich>
          </tx>
          <overlay val="0"/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issuance by component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'By Month'!B2</f>
            </strRef>
          </tx>
          <spPr>
            <a:ln w="20000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Month'!$A$3:$A$32</f>
            </numRef>
          </cat>
          <val>
            <numRef>
              <f>'By Month'!$B$3:$B$32</f>
            </numRef>
          </val>
          <smooth val="0"/>
        </ser>
        <ser>
          <idx val="1"/>
          <order val="1"/>
          <tx>
            <strRef>
              <f>'By Month'!C2</f>
            </strRef>
          </tx>
          <spPr>
            <a:ln w="20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Month'!$A$3:$A$32</f>
            </numRef>
          </cat>
          <val>
            <numRef>
              <f>'By Month'!$C$3:$C$32</f>
            </numRef>
          </val>
          <smooth val="0"/>
        </ser>
        <ser>
          <idx val="2"/>
          <order val="2"/>
          <tx>
            <strRef>
              <f>'By Month'!D2</f>
            </strRef>
          </tx>
          <spPr>
            <a:ln w="20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Month'!$A$3:$A$32</f>
            </numRef>
          </cat>
          <val>
            <numRef>
              <f>'By Month'!$D$3:$D$32</f>
            </numRef>
          </val>
          <smooth val="0"/>
        </ser>
        <ser>
          <idx val="3"/>
          <order val="3"/>
          <tx>
            <strRef>
              <f>'By Month'!E2</f>
            </strRef>
          </tx>
          <spPr>
            <a:ln w="20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Month'!$A$3:$A$32</f>
            </numRef>
          </cat>
          <val>
            <numRef>
              <f>'By Month'!$E$3:$E$32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Units issued</a:t>
                </a:r>
              </a:p>
            </rich>
          </tx>
          <overlay val="0"/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</cols>
  <sheetData>
    <row r="1" ht="26" customHeight="1">
      <c r="A1" s="1" t="inlineStr">
        <is>
          <t>Blood Bank Statistics — Summary</t>
        </is>
      </c>
    </row>
    <row r="2">
      <c r="A2" s="2" t="inlineStr">
        <is>
          <t>Reporting period</t>
        </is>
      </c>
      <c r="B2" t="inlineStr">
        <is>
          <t>Jan 2024 – Jul 2026</t>
        </is>
      </c>
    </row>
    <row r="3">
      <c r="A3" s="2" t="inlineStr">
        <is>
          <t>Months on record</t>
        </is>
      </c>
      <c r="B3" t="n">
        <v>30</v>
      </c>
    </row>
    <row r="4">
      <c r="A4" s="2" t="inlineStr">
        <is>
          <t>Generated</t>
        </is>
      </c>
      <c r="B4" t="inlineStr">
        <is>
          <t>(set on export)</t>
        </is>
      </c>
    </row>
    <row r="6">
      <c r="A6" s="3" t="inlineStr">
        <is>
          <t>Activity</t>
        </is>
      </c>
      <c r="B6" s="3" t="inlineStr">
        <is>
          <t>Total units</t>
        </is>
      </c>
    </row>
    <row r="7">
      <c r="A7" s="4" t="inlineStr">
        <is>
          <t>Units issued</t>
        </is>
      </c>
      <c r="B7" s="5" t="n">
        <v>10699</v>
      </c>
    </row>
    <row r="8">
      <c r="A8" s="6" t="inlineStr">
        <is>
          <t>Cross-matched received</t>
        </is>
      </c>
      <c r="B8" s="7" t="n">
        <v>3816</v>
      </c>
    </row>
    <row r="9">
      <c r="A9" s="4" t="inlineStr">
        <is>
          <t>Returned from ward</t>
        </is>
      </c>
      <c r="B9" s="5" t="n">
        <v>1</v>
      </c>
    </row>
    <row r="10">
      <c r="A10" s="6" t="inlineStr">
        <is>
          <t>Returned ARH→ASH</t>
        </is>
      </c>
      <c r="B10" s="7" t="n">
        <v>20</v>
      </c>
    </row>
    <row r="11">
      <c r="A11" s="4" t="inlineStr">
        <is>
          <t>Inventory from ASH</t>
        </is>
      </c>
      <c r="B11" s="5" t="n">
        <v>500</v>
      </c>
    </row>
    <row r="13">
      <c r="A13" s="3" t="inlineStr">
        <is>
          <t>Component</t>
        </is>
      </c>
      <c r="B13" s="3" t="inlineStr">
        <is>
          <t>Units issued</t>
        </is>
      </c>
      <c r="C13" s="3" t="inlineStr">
        <is>
          <t>Share</t>
        </is>
      </c>
    </row>
    <row r="14">
      <c r="A14" s="8" t="inlineStr">
        <is>
          <t>PRBC</t>
        </is>
      </c>
      <c r="B14" s="5" t="n">
        <v>3667</v>
      </c>
      <c r="C14" s="9">
        <f>B14/SUM($B$14:$B$17)*100</f>
        <v/>
      </c>
    </row>
    <row r="15">
      <c r="A15" s="10" t="inlineStr">
        <is>
          <t>FFP</t>
        </is>
      </c>
      <c r="B15" s="5" t="n">
        <v>971</v>
      </c>
      <c r="C15" s="9">
        <f>B15/SUM($B$14:$B$17)*100</f>
        <v/>
      </c>
    </row>
    <row r="16">
      <c r="A16" s="11" t="inlineStr">
        <is>
          <t>CRYO</t>
        </is>
      </c>
      <c r="B16" s="5" t="n">
        <v>728</v>
      </c>
      <c r="C16" s="9">
        <f>B16/SUM($B$14:$B$17)*100</f>
        <v/>
      </c>
    </row>
    <row r="17">
      <c r="A17" s="12" t="inlineStr">
        <is>
          <t>Platelets</t>
        </is>
      </c>
      <c r="B17" s="5" t="n">
        <v>5333</v>
      </c>
      <c r="C17" s="9">
        <f>B17/SUM($B$14:$B$17)*100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Units issued by year &amp; component</t>
        </is>
      </c>
    </row>
    <row r="2">
      <c r="A2" s="3" t="inlineStr">
        <is>
          <t>Year</t>
        </is>
      </c>
      <c r="B2" s="13" t="inlineStr">
        <is>
          <t>PRBC</t>
        </is>
      </c>
      <c r="C2" s="14" t="inlineStr">
        <is>
          <t>FFP</t>
        </is>
      </c>
      <c r="D2" s="15" t="inlineStr">
        <is>
          <t>CRYO</t>
        </is>
      </c>
      <c r="E2" s="16" t="inlineStr">
        <is>
          <t>Platelets</t>
        </is>
      </c>
      <c r="F2" s="3" t="inlineStr">
        <is>
          <t>Total</t>
        </is>
      </c>
    </row>
    <row r="3">
      <c r="A3" s="4" t="inlineStr">
        <is>
          <t>2024</t>
        </is>
      </c>
      <c r="B3" s="5" t="n">
        <v>1476</v>
      </c>
      <c r="C3" s="5" t="n">
        <v>332</v>
      </c>
      <c r="D3" s="5" t="n">
        <v>543</v>
      </c>
      <c r="E3" s="5" t="n">
        <v>1779</v>
      </c>
      <c r="F3" s="17">
        <f>SUM(B3:E3)</f>
        <v/>
      </c>
    </row>
    <row r="4">
      <c r="A4" s="6" t="inlineStr">
        <is>
          <t>2025</t>
        </is>
      </c>
      <c r="B4" s="7" t="n">
        <v>1373</v>
      </c>
      <c r="C4" s="7" t="n">
        <v>338</v>
      </c>
      <c r="D4" s="7" t="n">
        <v>135</v>
      </c>
      <c r="E4" s="7" t="n">
        <v>1683</v>
      </c>
      <c r="F4" s="17">
        <f>SUM(B4:E4)</f>
        <v/>
      </c>
    </row>
    <row r="5">
      <c r="A5" s="4" t="inlineStr">
        <is>
          <t>2026</t>
        </is>
      </c>
      <c r="B5" s="5" t="n">
        <v>818</v>
      </c>
      <c r="C5" s="5" t="n">
        <v>301</v>
      </c>
      <c r="D5" s="5" t="n">
        <v>50</v>
      </c>
      <c r="E5" s="5" t="n">
        <v>1871</v>
      </c>
      <c r="F5" s="17">
        <f>SUM(B5:E5)</f>
        <v/>
      </c>
    </row>
    <row r="6">
      <c r="A6" s="6" t="n"/>
      <c r="B6" s="7" t="n"/>
      <c r="C6" s="7" t="n"/>
      <c r="D6" s="7" t="n"/>
      <c r="E6" s="7" t="n"/>
      <c r="F6" s="17" t="n"/>
    </row>
    <row r="7">
      <c r="A7" s="4" t="n"/>
      <c r="B7" s="5" t="n"/>
      <c r="C7" s="5" t="n"/>
      <c r="D7" s="5" t="n"/>
      <c r="E7" s="5" t="n"/>
      <c r="F7" s="17" t="n"/>
    </row>
    <row r="8">
      <c r="A8" s="6" t="n"/>
      <c r="B8" s="7" t="n"/>
      <c r="C8" s="7" t="n"/>
      <c r="D8" s="7" t="n"/>
      <c r="E8" s="7" t="n"/>
      <c r="F8" s="17" t="n"/>
    </row>
    <row r="9">
      <c r="A9" s="4" t="n"/>
      <c r="B9" s="5" t="n"/>
      <c r="C9" s="5" t="n"/>
      <c r="D9" s="5" t="n"/>
      <c r="E9" s="5" t="n"/>
      <c r="F9" s="17" t="n"/>
    </row>
    <row r="10">
      <c r="A10" s="6" t="n"/>
      <c r="B10" s="7" t="n"/>
      <c r="C10" s="7" t="n"/>
      <c r="D10" s="7" t="n"/>
      <c r="E10" s="7" t="n"/>
      <c r="F10" s="17" t="n"/>
    </row>
    <row r="11">
      <c r="A11" s="4" t="n"/>
      <c r="B11" s="5" t="n"/>
      <c r="C11" s="5" t="n"/>
      <c r="D11" s="5" t="n"/>
      <c r="E11" s="5" t="n"/>
      <c r="F11" s="17" t="n"/>
    </row>
    <row r="12">
      <c r="A12" s="6" t="n"/>
      <c r="B12" s="7" t="n"/>
      <c r="C12" s="7" t="n"/>
      <c r="D12" s="7" t="n"/>
      <c r="E12" s="7" t="n"/>
      <c r="F12" s="17" t="n"/>
    </row>
    <row r="13">
      <c r="A13" s="4" t="n"/>
      <c r="B13" s="5" t="n"/>
      <c r="C13" s="5" t="n"/>
      <c r="D13" s="5" t="n"/>
      <c r="E13" s="5" t="n"/>
      <c r="F13" s="17" t="n"/>
    </row>
    <row r="14">
      <c r="A14" s="6" t="n"/>
      <c r="B14" s="7" t="n"/>
      <c r="C14" s="7" t="n"/>
      <c r="D14" s="7" t="n"/>
      <c r="E14" s="7" t="n"/>
      <c r="F14" s="17" t="n"/>
    </row>
    <row r="15">
      <c r="A15" s="18" t="inlineStr">
        <is>
          <t>Total</t>
        </is>
      </c>
      <c r="B15" s="17">
        <f>SUM(B3:B14)</f>
        <v/>
      </c>
      <c r="C15" s="17">
        <f>SUM(C3:C14)</f>
        <v/>
      </c>
      <c r="D15" s="17">
        <f>SUM(D3:D14)</f>
        <v/>
      </c>
      <c r="E15" s="17">
        <f>SUM(E3:E14)</f>
        <v/>
      </c>
      <c r="F15" s="17">
        <f>SUM(F3:F14)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6" customHeight="1">
      <c r="A1" s="1" t="inlineStr">
        <is>
          <t>Units issued by ward &amp; component</t>
        </is>
      </c>
    </row>
    <row r="2">
      <c r="A2" s="3" t="inlineStr">
        <is>
          <t>Ward / Floor</t>
        </is>
      </c>
      <c r="B2" s="13" t="inlineStr">
        <is>
          <t>PRBC</t>
        </is>
      </c>
      <c r="C2" s="14" t="inlineStr">
        <is>
          <t>FFP</t>
        </is>
      </c>
      <c r="D2" s="15" t="inlineStr">
        <is>
          <t>CRYO</t>
        </is>
      </c>
      <c r="E2" s="16" t="inlineStr">
        <is>
          <t>Platelets</t>
        </is>
      </c>
      <c r="F2" s="3" t="inlineStr">
        <is>
          <t>Total</t>
        </is>
      </c>
      <c r="G2" s="3" t="inlineStr">
        <is>
          <t>Share</t>
        </is>
      </c>
    </row>
    <row r="3">
      <c r="A3" s="4" t="inlineStr">
        <is>
          <t>Rehab ICU 4th floor</t>
        </is>
      </c>
      <c r="B3" s="5" t="n">
        <v>2787</v>
      </c>
      <c r="C3" s="5" t="n">
        <v>966</v>
      </c>
      <c r="D3" s="5" t="n">
        <v>728</v>
      </c>
      <c r="E3" s="5" t="n">
        <v>5172</v>
      </c>
      <c r="F3" s="17">
        <f>SUM(B3:E3)</f>
        <v/>
      </c>
      <c r="G3" s="9">
        <f>IF(SUM($F$3:$F$13)=0,0,F3/SUM($F$3:$F$13)*100)</f>
        <v/>
      </c>
    </row>
    <row r="4">
      <c r="A4" s="6" t="inlineStr">
        <is>
          <t>LTC 3rd floor</t>
        </is>
      </c>
      <c r="B4" s="7" t="n">
        <v>196</v>
      </c>
      <c r="C4" s="7" t="n">
        <v>0</v>
      </c>
      <c r="D4" s="7" t="n">
        <v>0</v>
      </c>
      <c r="E4" s="7" t="n">
        <v>42</v>
      </c>
      <c r="F4" s="17">
        <f>SUM(B4:E4)</f>
        <v/>
      </c>
      <c r="G4" s="19">
        <f>IF(SUM($F$3:$F$13)=0,0,F4/SUM($F$3:$F$13)*100)</f>
        <v/>
      </c>
    </row>
    <row r="5">
      <c r="A5" s="4" t="inlineStr">
        <is>
          <t>LTC 5th floor</t>
        </is>
      </c>
      <c r="B5" s="5" t="n">
        <v>209</v>
      </c>
      <c r="C5" s="5" t="n">
        <v>0</v>
      </c>
      <c r="D5" s="5" t="n">
        <v>0</v>
      </c>
      <c r="E5" s="5" t="n">
        <v>33</v>
      </c>
      <c r="F5" s="17">
        <f>SUM(B5:E5)</f>
        <v/>
      </c>
      <c r="G5" s="9">
        <f>IF(SUM($F$3:$F$13)=0,0,F5/SUM($F$3:$F$13)*100)</f>
        <v/>
      </c>
    </row>
    <row r="6">
      <c r="A6" s="6" t="inlineStr">
        <is>
          <t>LTC 6th floor</t>
        </is>
      </c>
      <c r="B6" s="7" t="n">
        <v>71</v>
      </c>
      <c r="C6" s="7" t="n">
        <v>5</v>
      </c>
      <c r="D6" s="7" t="n">
        <v>0</v>
      </c>
      <c r="E6" s="7" t="n">
        <v>51</v>
      </c>
      <c r="F6" s="17">
        <f>SUM(B6:E6)</f>
        <v/>
      </c>
      <c r="G6" s="19">
        <f>IF(SUM($F$3:$F$13)=0,0,F6/SUM($F$3:$F$13)*100)</f>
        <v/>
      </c>
    </row>
    <row r="7">
      <c r="A7" s="4" t="inlineStr">
        <is>
          <t>LTC 7th floor</t>
        </is>
      </c>
      <c r="B7" s="5" t="n">
        <v>119</v>
      </c>
      <c r="C7" s="5" t="n">
        <v>0</v>
      </c>
      <c r="D7" s="5" t="n">
        <v>0</v>
      </c>
      <c r="E7" s="5" t="n">
        <v>20</v>
      </c>
      <c r="F7" s="17">
        <f>SUM(B7:E7)</f>
        <v/>
      </c>
      <c r="G7" s="9">
        <f>IF(SUM($F$3:$F$13)=0,0,F7/SUM($F$3:$F$13)*100)</f>
        <v/>
      </c>
    </row>
    <row r="8">
      <c r="A8" s="6" t="inlineStr">
        <is>
          <t>L8th-medical floor</t>
        </is>
      </c>
      <c r="B8" s="7" t="n">
        <v>120</v>
      </c>
      <c r="C8" s="7" t="n">
        <v>0</v>
      </c>
      <c r="D8" s="7" t="n">
        <v>0</v>
      </c>
      <c r="E8" s="7" t="n">
        <v>0</v>
      </c>
      <c r="F8" s="17">
        <f>SUM(B8:E8)</f>
        <v/>
      </c>
      <c r="G8" s="19">
        <f>IF(SUM($F$3:$F$13)=0,0,F8/SUM($F$3:$F$13)*100)</f>
        <v/>
      </c>
    </row>
    <row r="9">
      <c r="A9" s="4" t="inlineStr">
        <is>
          <t>LTC 9th floor</t>
        </is>
      </c>
      <c r="B9" s="5" t="n">
        <v>71</v>
      </c>
      <c r="C9" s="5" t="n">
        <v>0</v>
      </c>
      <c r="D9" s="5" t="n">
        <v>0</v>
      </c>
      <c r="E9" s="5" t="n">
        <v>10</v>
      </c>
      <c r="F9" s="17">
        <f>SUM(B9:E9)</f>
        <v/>
      </c>
      <c r="G9" s="9">
        <f>IF(SUM($F$3:$F$13)=0,0,F9/SUM($F$3:$F$13)*100)</f>
        <v/>
      </c>
    </row>
    <row r="10">
      <c r="A10" s="6" t="inlineStr">
        <is>
          <t>12 floor</t>
        </is>
      </c>
      <c r="B10" s="7" t="n">
        <v>62</v>
      </c>
      <c r="C10" s="7" t="n">
        <v>0</v>
      </c>
      <c r="D10" s="7" t="n">
        <v>0</v>
      </c>
      <c r="E10" s="7" t="n">
        <v>5</v>
      </c>
      <c r="F10" s="17">
        <f>SUM(B10:E10)</f>
        <v/>
      </c>
      <c r="G10" s="19">
        <f>IF(SUM($F$3:$F$13)=0,0,F10/SUM($F$3:$F$13)*100)</f>
        <v/>
      </c>
    </row>
    <row r="11">
      <c r="A11" s="4" t="inlineStr">
        <is>
          <t>13 floor</t>
        </is>
      </c>
      <c r="B11" s="5" t="n">
        <v>3</v>
      </c>
      <c r="C11" s="5" t="n">
        <v>0</v>
      </c>
      <c r="D11" s="5" t="n">
        <v>0</v>
      </c>
      <c r="E11" s="5" t="n">
        <v>0</v>
      </c>
      <c r="F11" s="17">
        <f>SUM(B11:E11)</f>
        <v/>
      </c>
      <c r="G11" s="9">
        <f>IF(SUM($F$3:$F$13)=0,0,F11/SUM($F$3:$F$13)*100)</f>
        <v/>
      </c>
    </row>
    <row r="12">
      <c r="A12" s="6" t="inlineStr">
        <is>
          <t>Rehab 14 floor</t>
        </is>
      </c>
      <c r="B12" s="7" t="n">
        <v>3</v>
      </c>
      <c r="C12" s="7" t="n">
        <v>0</v>
      </c>
      <c r="D12" s="7" t="n">
        <v>0</v>
      </c>
      <c r="E12" s="7" t="n">
        <v>0</v>
      </c>
      <c r="F12" s="17">
        <f>SUM(B12:E12)</f>
        <v/>
      </c>
      <c r="G12" s="19">
        <f>IF(SUM($F$3:$F$13)=0,0,F12/SUM($F$3:$F$13)*100)</f>
        <v/>
      </c>
    </row>
    <row r="13">
      <c r="A13" s="4" t="inlineStr">
        <is>
          <t>HDU</t>
        </is>
      </c>
      <c r="B13" s="5" t="n">
        <v>23</v>
      </c>
      <c r="C13" s="5" t="n">
        <v>0</v>
      </c>
      <c r="D13" s="5" t="n">
        <v>0</v>
      </c>
      <c r="E13" s="5" t="n">
        <v>0</v>
      </c>
      <c r="F13" s="17">
        <f>SUM(B13:E13)</f>
        <v/>
      </c>
      <c r="G13" s="9">
        <f>IF(SUM($F$3:$F$13)=0,0,F13/SUM($F$3:$F$13)*100)</f>
        <v/>
      </c>
    </row>
    <row r="14">
      <c r="A14" s="18" t="inlineStr">
        <is>
          <t>Total</t>
        </is>
      </c>
      <c r="B14" s="17">
        <f>SUM(B3:B13)</f>
        <v/>
      </c>
      <c r="C14" s="17">
        <f>SUM(C3:C13)</f>
        <v/>
      </c>
      <c r="D14" s="17">
        <f>SUM(D3:D13)</f>
        <v/>
      </c>
      <c r="E14" s="17">
        <f>SUM(E3:E13)</f>
        <v/>
      </c>
      <c r="F14" s="17">
        <f>SUM(F3:F13)</f>
        <v/>
      </c>
      <c r="G14" s="20">
        <f>100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Units issued by month &amp; component</t>
        </is>
      </c>
    </row>
    <row r="2">
      <c r="A2" s="3" t="inlineStr">
        <is>
          <t>Month</t>
        </is>
      </c>
      <c r="B2" s="13" t="inlineStr">
        <is>
          <t>PRBC</t>
        </is>
      </c>
      <c r="C2" s="14" t="inlineStr">
        <is>
          <t>FFP</t>
        </is>
      </c>
      <c r="D2" s="15" t="inlineStr">
        <is>
          <t>CRYO</t>
        </is>
      </c>
      <c r="E2" s="16" t="inlineStr">
        <is>
          <t>Platelets</t>
        </is>
      </c>
      <c r="F2" s="3" t="inlineStr">
        <is>
          <t>Received XM</t>
        </is>
      </c>
      <c r="G2" s="3" t="inlineStr">
        <is>
          <t>Returned</t>
        </is>
      </c>
      <c r="H2" s="3" t="inlineStr">
        <is>
          <t>Total issued</t>
        </is>
      </c>
    </row>
    <row r="3">
      <c r="A3" s="4" t="inlineStr">
        <is>
          <t>Jan 2024</t>
        </is>
      </c>
      <c r="B3" s="5" t="n">
        <v>70</v>
      </c>
      <c r="C3" s="5" t="n">
        <v>18</v>
      </c>
      <c r="D3" s="5" t="n">
        <v>30</v>
      </c>
      <c r="E3" s="5" t="n">
        <v>25</v>
      </c>
      <c r="F3" s="5" t="n">
        <v>137</v>
      </c>
      <c r="G3" s="5" t="n">
        <v>7</v>
      </c>
      <c r="H3" s="17">
        <f>SUM(B3:E3)</f>
        <v/>
      </c>
    </row>
    <row r="4">
      <c r="A4" s="6" t="inlineStr">
        <is>
          <t>Feb 2024</t>
        </is>
      </c>
      <c r="B4" s="7" t="n">
        <v>66</v>
      </c>
      <c r="C4" s="7" t="n">
        <v>0</v>
      </c>
      <c r="D4" s="7" t="n">
        <v>0</v>
      </c>
      <c r="E4" s="7" t="n">
        <v>15</v>
      </c>
      <c r="F4" s="7" t="n">
        <v>129</v>
      </c>
      <c r="G4" s="7" t="n">
        <v>0</v>
      </c>
      <c r="H4" s="17">
        <f>SUM(B4:E4)</f>
        <v/>
      </c>
    </row>
    <row r="5">
      <c r="A5" s="4" t="inlineStr">
        <is>
          <t>Mar 2024</t>
        </is>
      </c>
      <c r="B5" s="5" t="n">
        <v>81</v>
      </c>
      <c r="C5" s="5" t="n">
        <v>28</v>
      </c>
      <c r="D5" s="5" t="n">
        <v>24</v>
      </c>
      <c r="E5" s="5" t="n">
        <v>165</v>
      </c>
      <c r="F5" s="5" t="n">
        <v>78</v>
      </c>
      <c r="G5" s="5" t="n">
        <v>0</v>
      </c>
      <c r="H5" s="17">
        <f>SUM(B5:E5)</f>
        <v/>
      </c>
    </row>
    <row r="6">
      <c r="A6" s="6" t="inlineStr">
        <is>
          <t>Apr 2024</t>
        </is>
      </c>
      <c r="B6" s="7" t="n">
        <v>81</v>
      </c>
      <c r="C6" s="7" t="n">
        <v>6</v>
      </c>
      <c r="D6" s="7" t="n">
        <v>0</v>
      </c>
      <c r="E6" s="7" t="n">
        <v>56</v>
      </c>
      <c r="F6" s="7" t="n">
        <v>84</v>
      </c>
      <c r="G6" s="7" t="n">
        <v>0</v>
      </c>
      <c r="H6" s="17">
        <f>SUM(B6:E6)</f>
        <v/>
      </c>
    </row>
    <row r="7">
      <c r="A7" s="4" t="inlineStr">
        <is>
          <t>May 2024</t>
        </is>
      </c>
      <c r="B7" s="5" t="n">
        <v>102</v>
      </c>
      <c r="C7" s="5" t="n">
        <v>34</v>
      </c>
      <c r="D7" s="5" t="n">
        <v>36</v>
      </c>
      <c r="E7" s="5" t="n">
        <v>172</v>
      </c>
      <c r="F7" s="5" t="n">
        <v>104</v>
      </c>
      <c r="G7" s="5" t="n">
        <v>0</v>
      </c>
      <c r="H7" s="17">
        <f>SUM(B7:E7)</f>
        <v/>
      </c>
    </row>
    <row r="8">
      <c r="A8" s="6" t="inlineStr">
        <is>
          <t>Jun 2024</t>
        </is>
      </c>
      <c r="B8" s="7" t="n">
        <v>145</v>
      </c>
      <c r="C8" s="7" t="n">
        <v>60</v>
      </c>
      <c r="D8" s="7" t="n">
        <v>70</v>
      </c>
      <c r="E8" s="7" t="n">
        <v>158</v>
      </c>
      <c r="F8" s="7" t="n">
        <v>149</v>
      </c>
      <c r="G8" s="7" t="n">
        <v>0</v>
      </c>
      <c r="H8" s="17">
        <f>SUM(B8:E8)</f>
        <v/>
      </c>
    </row>
    <row r="9">
      <c r="A9" s="4" t="inlineStr">
        <is>
          <t>Jul 2024</t>
        </is>
      </c>
      <c r="B9" s="5" t="n">
        <v>151</v>
      </c>
      <c r="C9" s="5" t="n">
        <v>42</v>
      </c>
      <c r="D9" s="5" t="n">
        <v>55</v>
      </c>
      <c r="E9" s="5" t="n">
        <v>192</v>
      </c>
      <c r="F9" s="5" t="n">
        <v>151</v>
      </c>
      <c r="G9" s="5" t="n">
        <v>0</v>
      </c>
      <c r="H9" s="17">
        <f>SUM(B9:E9)</f>
        <v/>
      </c>
    </row>
    <row r="10">
      <c r="A10" s="6" t="inlineStr">
        <is>
          <t>Aug 2024</t>
        </is>
      </c>
      <c r="B10" s="7" t="n">
        <v>153</v>
      </c>
      <c r="C10" s="7" t="n">
        <v>49</v>
      </c>
      <c r="D10" s="7" t="n">
        <v>40</v>
      </c>
      <c r="E10" s="7" t="n">
        <v>167</v>
      </c>
      <c r="F10" s="7" t="n">
        <v>155</v>
      </c>
      <c r="G10" s="7" t="n">
        <v>0</v>
      </c>
      <c r="H10" s="17">
        <f>SUM(B10:E10)</f>
        <v/>
      </c>
    </row>
    <row r="11">
      <c r="A11" s="4" t="inlineStr">
        <is>
          <t>Sep 2024</t>
        </is>
      </c>
      <c r="B11" s="5" t="n">
        <v>178</v>
      </c>
      <c r="C11" s="5" t="n">
        <v>22</v>
      </c>
      <c r="D11" s="5" t="n">
        <v>50</v>
      </c>
      <c r="E11" s="5" t="n">
        <v>243</v>
      </c>
      <c r="F11" s="5" t="n">
        <v>178</v>
      </c>
      <c r="G11" s="5" t="n">
        <v>0</v>
      </c>
      <c r="H11" s="17">
        <f>SUM(B11:E11)</f>
        <v/>
      </c>
    </row>
    <row r="12">
      <c r="A12" s="6" t="inlineStr">
        <is>
          <t>Oct 2024</t>
        </is>
      </c>
      <c r="B12" s="7" t="n">
        <v>188</v>
      </c>
      <c r="C12" s="7" t="n">
        <v>29</v>
      </c>
      <c r="D12" s="7" t="n">
        <v>128</v>
      </c>
      <c r="E12" s="7" t="n">
        <v>205</v>
      </c>
      <c r="F12" s="7" t="n">
        <v>188</v>
      </c>
      <c r="G12" s="7" t="n">
        <v>0</v>
      </c>
      <c r="H12" s="17">
        <f>SUM(B12:E12)</f>
        <v/>
      </c>
    </row>
    <row r="13">
      <c r="A13" s="4" t="inlineStr">
        <is>
          <t>Nov 2024</t>
        </is>
      </c>
      <c r="B13" s="5" t="n">
        <v>126</v>
      </c>
      <c r="C13" s="5" t="n">
        <v>19</v>
      </c>
      <c r="D13" s="5" t="n">
        <v>70</v>
      </c>
      <c r="E13" s="5" t="n">
        <v>197</v>
      </c>
      <c r="F13" s="5" t="n">
        <v>127</v>
      </c>
      <c r="G13" s="5" t="n">
        <v>0</v>
      </c>
      <c r="H13" s="17">
        <f>SUM(B13:E13)</f>
        <v/>
      </c>
    </row>
    <row r="14">
      <c r="A14" s="6" t="inlineStr">
        <is>
          <t>Dec 2024</t>
        </is>
      </c>
      <c r="B14" s="7" t="n">
        <v>135</v>
      </c>
      <c r="C14" s="7" t="n">
        <v>25</v>
      </c>
      <c r="D14" s="7" t="n">
        <v>40</v>
      </c>
      <c r="E14" s="7" t="n">
        <v>184</v>
      </c>
      <c r="F14" s="7" t="n">
        <v>135</v>
      </c>
      <c r="G14" s="7" t="n">
        <v>0</v>
      </c>
      <c r="H14" s="17">
        <f>SUM(B14:E14)</f>
        <v/>
      </c>
    </row>
    <row r="15">
      <c r="A15" s="4" t="inlineStr">
        <is>
          <t>Jan 2025</t>
        </is>
      </c>
      <c r="B15" s="5" t="n">
        <v>114</v>
      </c>
      <c r="C15" s="5" t="n">
        <v>65</v>
      </c>
      <c r="D15" s="5" t="n">
        <v>35</v>
      </c>
      <c r="E15" s="5" t="n">
        <v>87</v>
      </c>
      <c r="F15" s="5" t="n">
        <v>116</v>
      </c>
      <c r="G15" s="5" t="n">
        <v>1</v>
      </c>
      <c r="H15" s="17">
        <f>SUM(B15:E15)</f>
        <v/>
      </c>
    </row>
    <row r="16">
      <c r="A16" s="6" t="inlineStr">
        <is>
          <t>Feb 2025</t>
        </is>
      </c>
      <c r="B16" s="7" t="n">
        <v>121</v>
      </c>
      <c r="C16" s="7" t="n">
        <v>32</v>
      </c>
      <c r="D16" s="7" t="n">
        <v>5</v>
      </c>
      <c r="E16" s="7" t="n">
        <v>172</v>
      </c>
      <c r="F16" s="7" t="n">
        <v>125</v>
      </c>
      <c r="G16" s="7" t="n">
        <v>0</v>
      </c>
      <c r="H16" s="17">
        <f>SUM(B16:E16)</f>
        <v/>
      </c>
    </row>
    <row r="17">
      <c r="A17" s="4" t="inlineStr">
        <is>
          <t>Mar 2025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17">
        <f>SUM(B17:E17)</f>
        <v/>
      </c>
    </row>
    <row r="18">
      <c r="A18" s="6" t="inlineStr">
        <is>
          <t>Apr 2025</t>
        </is>
      </c>
      <c r="B18" s="7" t="n">
        <v>104</v>
      </c>
      <c r="C18" s="7" t="n">
        <v>11</v>
      </c>
      <c r="D18" s="7" t="n">
        <v>5</v>
      </c>
      <c r="E18" s="7" t="n">
        <v>90</v>
      </c>
      <c r="F18" s="7" t="n">
        <v>104</v>
      </c>
      <c r="G18" s="7" t="n">
        <v>1</v>
      </c>
      <c r="H18" s="17">
        <f>SUM(B18:E18)</f>
        <v/>
      </c>
    </row>
    <row r="19">
      <c r="A19" s="4" t="inlineStr">
        <is>
          <t>May 2025</t>
        </is>
      </c>
      <c r="B19" s="5" t="n">
        <v>124</v>
      </c>
      <c r="C19" s="5" t="n">
        <v>15</v>
      </c>
      <c r="D19" s="5" t="n">
        <v>0</v>
      </c>
      <c r="E19" s="5" t="n">
        <v>107</v>
      </c>
      <c r="F19" s="5" t="n">
        <v>125</v>
      </c>
      <c r="G19" s="5" t="n">
        <v>0</v>
      </c>
      <c r="H19" s="17">
        <f>SUM(B19:E19)</f>
        <v/>
      </c>
    </row>
    <row r="20">
      <c r="A20" s="6" t="inlineStr">
        <is>
          <t>Jun 2025</t>
        </is>
      </c>
      <c r="B20" s="7" t="n">
        <v>138</v>
      </c>
      <c r="C20" s="7" t="n">
        <v>32</v>
      </c>
      <c r="D20" s="7" t="n">
        <v>15</v>
      </c>
      <c r="E20" s="7" t="n">
        <v>183</v>
      </c>
      <c r="F20" s="7" t="n">
        <v>140</v>
      </c>
      <c r="G20" s="7" t="n">
        <v>1</v>
      </c>
      <c r="H20" s="17">
        <f>SUM(B20:E20)</f>
        <v/>
      </c>
    </row>
    <row r="21">
      <c r="A21" s="4" t="inlineStr">
        <is>
          <t>Jul 2025</t>
        </is>
      </c>
      <c r="B21" s="5" t="n">
        <v>167</v>
      </c>
      <c r="C21" s="5" t="n">
        <v>79</v>
      </c>
      <c r="D21" s="5" t="n">
        <v>10</v>
      </c>
      <c r="E21" s="5" t="n">
        <v>220</v>
      </c>
      <c r="F21" s="5" t="n">
        <v>169</v>
      </c>
      <c r="G21" s="5" t="n">
        <v>0</v>
      </c>
      <c r="H21" s="17">
        <f>SUM(B21:E21)</f>
        <v/>
      </c>
    </row>
    <row r="22">
      <c r="A22" s="6" t="inlineStr">
        <is>
          <t>Sep 2025</t>
        </is>
      </c>
      <c r="B22" s="7" t="n">
        <v>175</v>
      </c>
      <c r="C22" s="7" t="n">
        <v>45</v>
      </c>
      <c r="D22" s="7" t="n">
        <v>55</v>
      </c>
      <c r="E22" s="7" t="n">
        <v>147</v>
      </c>
      <c r="F22" s="7" t="n">
        <v>176</v>
      </c>
      <c r="G22" s="7" t="n">
        <v>0</v>
      </c>
      <c r="H22" s="17">
        <f>SUM(B22:E22)</f>
        <v/>
      </c>
    </row>
    <row r="23">
      <c r="A23" s="4" t="inlineStr">
        <is>
          <t>Oct 2025</t>
        </is>
      </c>
      <c r="B23" s="5" t="n">
        <v>140</v>
      </c>
      <c r="C23" s="5" t="n">
        <v>23</v>
      </c>
      <c r="D23" s="5" t="n">
        <v>10</v>
      </c>
      <c r="E23" s="5" t="n">
        <v>286</v>
      </c>
      <c r="F23" s="5" t="n">
        <v>140</v>
      </c>
      <c r="G23" s="5" t="n">
        <v>0</v>
      </c>
      <c r="H23" s="17">
        <f>SUM(B23:E23)</f>
        <v/>
      </c>
    </row>
    <row r="24">
      <c r="A24" s="6" t="inlineStr">
        <is>
          <t>Nov 2025</t>
        </is>
      </c>
      <c r="B24" s="7" t="n">
        <v>126</v>
      </c>
      <c r="C24" s="7" t="n">
        <v>18</v>
      </c>
      <c r="D24" s="7" t="n">
        <v>0</v>
      </c>
      <c r="E24" s="7" t="n">
        <v>95</v>
      </c>
      <c r="F24" s="7" t="n">
        <v>120</v>
      </c>
      <c r="G24" s="7" t="n">
        <v>0</v>
      </c>
      <c r="H24" s="17">
        <f>SUM(B24:E24)</f>
        <v/>
      </c>
    </row>
    <row r="25">
      <c r="A25" s="4" t="inlineStr">
        <is>
          <t>Dec 2025</t>
        </is>
      </c>
      <c r="B25" s="5" t="n">
        <v>164</v>
      </c>
      <c r="C25" s="5" t="n">
        <v>18</v>
      </c>
      <c r="D25" s="5" t="n">
        <v>0</v>
      </c>
      <c r="E25" s="5" t="n">
        <v>296</v>
      </c>
      <c r="F25" s="5" t="n">
        <v>157</v>
      </c>
      <c r="G25" s="5" t="n">
        <v>1</v>
      </c>
      <c r="H25" s="17">
        <f>SUM(B25:E25)</f>
        <v/>
      </c>
    </row>
    <row r="26">
      <c r="A26" s="6" t="inlineStr">
        <is>
          <t>Jan 2026</t>
        </is>
      </c>
      <c r="B26" s="7" t="n">
        <v>144</v>
      </c>
      <c r="C26" s="7" t="n">
        <v>76</v>
      </c>
      <c r="D26" s="7" t="n">
        <v>0</v>
      </c>
      <c r="E26" s="7" t="n">
        <v>260</v>
      </c>
      <c r="F26" s="7" t="n">
        <v>144</v>
      </c>
      <c r="G26" s="7" t="n">
        <v>0</v>
      </c>
      <c r="H26" s="17">
        <f>SUM(B26:E26)</f>
        <v/>
      </c>
    </row>
    <row r="27">
      <c r="A27" s="4" t="inlineStr">
        <is>
          <t>Feb 2026</t>
        </is>
      </c>
      <c r="B27" s="5" t="n">
        <v>156</v>
      </c>
      <c r="C27" s="5" t="n">
        <v>57</v>
      </c>
      <c r="D27" s="5" t="n">
        <v>5</v>
      </c>
      <c r="E27" s="5" t="n">
        <v>306</v>
      </c>
      <c r="F27" s="5" t="n">
        <v>157</v>
      </c>
      <c r="G27" s="5" t="n">
        <v>2</v>
      </c>
      <c r="H27" s="17">
        <f>SUM(B27:E27)</f>
        <v/>
      </c>
    </row>
    <row r="28">
      <c r="A28" s="6" t="inlineStr">
        <is>
          <t>Mar 2026</t>
        </is>
      </c>
      <c r="B28" s="7" t="n">
        <v>161</v>
      </c>
      <c r="C28" s="7" t="n">
        <v>69</v>
      </c>
      <c r="D28" s="7" t="n">
        <v>20</v>
      </c>
      <c r="E28" s="7" t="n">
        <v>430</v>
      </c>
      <c r="F28" s="7" t="n">
        <v>163</v>
      </c>
      <c r="G28" s="7" t="n">
        <v>2</v>
      </c>
      <c r="H28" s="17">
        <f>SUM(B28:E28)</f>
        <v/>
      </c>
    </row>
    <row r="29">
      <c r="A29" s="4" t="inlineStr">
        <is>
          <t>Apr 2026</t>
        </is>
      </c>
      <c r="B29" s="5" t="n">
        <v>119</v>
      </c>
      <c r="C29" s="5" t="n">
        <v>36</v>
      </c>
      <c r="D29" s="5" t="n">
        <v>5</v>
      </c>
      <c r="E29" s="5" t="n">
        <v>446</v>
      </c>
      <c r="F29" s="5" t="n">
        <v>122</v>
      </c>
      <c r="G29" s="5" t="n">
        <v>2</v>
      </c>
      <c r="H29" s="17">
        <f>SUM(B29:E29)</f>
        <v/>
      </c>
    </row>
    <row r="30">
      <c r="A30" s="6" t="inlineStr">
        <is>
          <t>May 2026</t>
        </is>
      </c>
      <c r="B30" s="7" t="n">
        <v>128</v>
      </c>
      <c r="C30" s="7" t="n">
        <v>45</v>
      </c>
      <c r="D30" s="7" t="n">
        <v>20</v>
      </c>
      <c r="E30" s="7" t="n">
        <v>305</v>
      </c>
      <c r="F30" s="7" t="n">
        <v>132</v>
      </c>
      <c r="G30" s="7" t="n">
        <v>4</v>
      </c>
      <c r="H30" s="17">
        <f>SUM(B30:E30)</f>
        <v/>
      </c>
    </row>
    <row r="31">
      <c r="A31" s="4" t="inlineStr">
        <is>
          <t>Jun 2026</t>
        </is>
      </c>
      <c r="B31" s="5" t="n">
        <v>110</v>
      </c>
      <c r="C31" s="5" t="n">
        <v>18</v>
      </c>
      <c r="D31" s="5" t="n">
        <v>0</v>
      </c>
      <c r="E31" s="5" t="n">
        <v>124</v>
      </c>
      <c r="F31" s="5" t="n">
        <v>111</v>
      </c>
      <c r="G31" s="5" t="n">
        <v>0</v>
      </c>
      <c r="H31" s="17">
        <f>SUM(B31:E31)</f>
        <v/>
      </c>
    </row>
    <row r="32">
      <c r="A32" s="6" t="inlineStr">
        <is>
          <t>Jul 2026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17">
        <f>SUM(B32:E32)</f>
        <v/>
      </c>
    </row>
    <row r="33">
      <c r="A33" s="4" t="n"/>
      <c r="B33" s="5" t="n"/>
      <c r="C33" s="5" t="n"/>
      <c r="D33" s="5" t="n"/>
      <c r="E33" s="5" t="n"/>
      <c r="F33" s="5" t="n"/>
      <c r="G33" s="5" t="n"/>
      <c r="H33" s="17" t="n"/>
    </row>
    <row r="34">
      <c r="A34" s="6" t="n"/>
      <c r="B34" s="7" t="n"/>
      <c r="C34" s="7" t="n"/>
      <c r="D34" s="7" t="n"/>
      <c r="E34" s="7" t="n"/>
      <c r="F34" s="7" t="n"/>
      <c r="G34" s="7" t="n"/>
      <c r="H34" s="17" t="n"/>
    </row>
    <row r="35">
      <c r="A35" s="4" t="n"/>
      <c r="B35" s="5" t="n"/>
      <c r="C35" s="5" t="n"/>
      <c r="D35" s="5" t="n"/>
      <c r="E35" s="5" t="n"/>
      <c r="F35" s="5" t="n"/>
      <c r="G35" s="5" t="n"/>
      <c r="H35" s="17" t="n"/>
    </row>
    <row r="36">
      <c r="A36" s="6" t="n"/>
      <c r="B36" s="7" t="n"/>
      <c r="C36" s="7" t="n"/>
      <c r="D36" s="7" t="n"/>
      <c r="E36" s="7" t="n"/>
      <c r="F36" s="7" t="n"/>
      <c r="G36" s="7" t="n"/>
      <c r="H36" s="17" t="n"/>
    </row>
    <row r="37">
      <c r="A37" s="4" t="n"/>
      <c r="B37" s="5" t="n"/>
      <c r="C37" s="5" t="n"/>
      <c r="D37" s="5" t="n"/>
      <c r="E37" s="5" t="n"/>
      <c r="F37" s="5" t="n"/>
      <c r="G37" s="5" t="n"/>
      <c r="H37" s="17" t="n"/>
    </row>
    <row r="38">
      <c r="A38" s="6" t="n"/>
      <c r="B38" s="7" t="n"/>
      <c r="C38" s="7" t="n"/>
      <c r="D38" s="7" t="n"/>
      <c r="E38" s="7" t="n"/>
      <c r="F38" s="7" t="n"/>
      <c r="G38" s="7" t="n"/>
      <c r="H38" s="17" t="n"/>
    </row>
    <row r="39">
      <c r="A39" s="4" t="n"/>
      <c r="B39" s="5" t="n"/>
      <c r="C39" s="5" t="n"/>
      <c r="D39" s="5" t="n"/>
      <c r="E39" s="5" t="n"/>
      <c r="F39" s="5" t="n"/>
      <c r="G39" s="5" t="n"/>
      <c r="H39" s="17" t="n"/>
    </row>
    <row r="40">
      <c r="A40" s="6" t="n"/>
      <c r="B40" s="7" t="n"/>
      <c r="C40" s="7" t="n"/>
      <c r="D40" s="7" t="n"/>
      <c r="E40" s="7" t="n"/>
      <c r="F40" s="7" t="n"/>
      <c r="G40" s="7" t="n"/>
      <c r="H40" s="17" t="n"/>
    </row>
    <row r="41">
      <c r="A41" s="4" t="n"/>
      <c r="B41" s="5" t="n"/>
      <c r="C41" s="5" t="n"/>
      <c r="D41" s="5" t="n"/>
      <c r="E41" s="5" t="n"/>
      <c r="F41" s="5" t="n"/>
      <c r="G41" s="5" t="n"/>
      <c r="H41" s="17" t="n"/>
    </row>
    <row r="42">
      <c r="A42" s="6" t="n"/>
      <c r="B42" s="7" t="n"/>
      <c r="C42" s="7" t="n"/>
      <c r="D42" s="7" t="n"/>
      <c r="E42" s="7" t="n"/>
      <c r="F42" s="7" t="n"/>
      <c r="G42" s="7" t="n"/>
      <c r="H42" s="17" t="n"/>
    </row>
    <row r="43">
      <c r="A43" s="4" t="n"/>
      <c r="B43" s="5" t="n"/>
      <c r="C43" s="5" t="n"/>
      <c r="D43" s="5" t="n"/>
      <c r="E43" s="5" t="n"/>
      <c r="F43" s="5" t="n"/>
      <c r="G43" s="5" t="n"/>
      <c r="H43" s="17" t="n"/>
    </row>
    <row r="44">
      <c r="A44" s="6" t="n"/>
      <c r="B44" s="7" t="n"/>
      <c r="C44" s="7" t="n"/>
      <c r="D44" s="7" t="n"/>
      <c r="E44" s="7" t="n"/>
      <c r="F44" s="7" t="n"/>
      <c r="G44" s="7" t="n"/>
      <c r="H44" s="17" t="n"/>
    </row>
    <row r="45">
      <c r="A45" s="4" t="n"/>
      <c r="B45" s="5" t="n"/>
      <c r="C45" s="5" t="n"/>
      <c r="D45" s="5" t="n"/>
      <c r="E45" s="5" t="n"/>
      <c r="F45" s="5" t="n"/>
      <c r="G45" s="5" t="n"/>
      <c r="H45" s="17" t="n"/>
    </row>
    <row r="46">
      <c r="A46" s="6" t="n"/>
      <c r="B46" s="7" t="n"/>
      <c r="C46" s="7" t="n"/>
      <c r="D46" s="7" t="n"/>
      <c r="E46" s="7" t="n"/>
      <c r="F46" s="7" t="n"/>
      <c r="G46" s="7" t="n"/>
      <c r="H46" s="17" t="n"/>
    </row>
    <row r="47">
      <c r="A47" s="4" t="n"/>
      <c r="B47" s="5" t="n"/>
      <c r="C47" s="5" t="n"/>
      <c r="D47" s="5" t="n"/>
      <c r="E47" s="5" t="n"/>
      <c r="F47" s="5" t="n"/>
      <c r="G47" s="5" t="n"/>
      <c r="H47" s="17" t="n"/>
    </row>
    <row r="48">
      <c r="A48" s="6" t="n"/>
      <c r="B48" s="7" t="n"/>
      <c r="C48" s="7" t="n"/>
      <c r="D48" s="7" t="n"/>
      <c r="E48" s="7" t="n"/>
      <c r="F48" s="7" t="n"/>
      <c r="G48" s="7" t="n"/>
      <c r="H48" s="17" t="n"/>
    </row>
    <row r="49">
      <c r="A49" s="4" t="n"/>
      <c r="B49" s="5" t="n"/>
      <c r="C49" s="5" t="n"/>
      <c r="D49" s="5" t="n"/>
      <c r="E49" s="5" t="n"/>
      <c r="F49" s="5" t="n"/>
      <c r="G49" s="5" t="n"/>
      <c r="H49" s="17" t="n"/>
    </row>
    <row r="50">
      <c r="A50" s="6" t="n"/>
      <c r="B50" s="7" t="n"/>
      <c r="C50" s="7" t="n"/>
      <c r="D50" s="7" t="n"/>
      <c r="E50" s="7" t="n"/>
      <c r="F50" s="7" t="n"/>
      <c r="G50" s="7" t="n"/>
      <c r="H50" s="17" t="n"/>
    </row>
    <row r="51">
      <c r="A51" s="4" t="n"/>
      <c r="B51" s="5" t="n"/>
      <c r="C51" s="5" t="n"/>
      <c r="D51" s="5" t="n"/>
      <c r="E51" s="5" t="n"/>
      <c r="F51" s="5" t="n"/>
      <c r="G51" s="5" t="n"/>
      <c r="H51" s="17" t="n"/>
    </row>
    <row r="52">
      <c r="A52" s="6" t="n"/>
      <c r="B52" s="7" t="n"/>
      <c r="C52" s="7" t="n"/>
      <c r="D52" s="7" t="n"/>
      <c r="E52" s="7" t="n"/>
      <c r="F52" s="7" t="n"/>
      <c r="G52" s="7" t="n"/>
      <c r="H52" s="17" t="n"/>
    </row>
    <row r="53">
      <c r="A53" s="4" t="n"/>
      <c r="B53" s="5" t="n"/>
      <c r="C53" s="5" t="n"/>
      <c r="D53" s="5" t="n"/>
      <c r="E53" s="5" t="n"/>
      <c r="F53" s="5" t="n"/>
      <c r="G53" s="5" t="n"/>
      <c r="H53" s="17" t="n"/>
    </row>
    <row r="54">
      <c r="A54" s="6" t="n"/>
      <c r="B54" s="7" t="n"/>
      <c r="C54" s="7" t="n"/>
      <c r="D54" s="7" t="n"/>
      <c r="E54" s="7" t="n"/>
      <c r="F54" s="7" t="n"/>
      <c r="G54" s="7" t="n"/>
      <c r="H54" s="17" t="n"/>
    </row>
    <row r="55">
      <c r="A55" s="4" t="n"/>
      <c r="B55" s="5" t="n"/>
      <c r="C55" s="5" t="n"/>
      <c r="D55" s="5" t="n"/>
      <c r="E55" s="5" t="n"/>
      <c r="F55" s="5" t="n"/>
      <c r="G55" s="5" t="n"/>
      <c r="H55" s="17" t="n"/>
    </row>
    <row r="56">
      <c r="A56" s="6" t="n"/>
      <c r="B56" s="7" t="n"/>
      <c r="C56" s="7" t="n"/>
      <c r="D56" s="7" t="n"/>
      <c r="E56" s="7" t="n"/>
      <c r="F56" s="7" t="n"/>
      <c r="G56" s="7" t="n"/>
      <c r="H56" s="17" t="n"/>
    </row>
    <row r="57">
      <c r="A57" s="4" t="n"/>
      <c r="B57" s="5" t="n"/>
      <c r="C57" s="5" t="n"/>
      <c r="D57" s="5" t="n"/>
      <c r="E57" s="5" t="n"/>
      <c r="F57" s="5" t="n"/>
      <c r="G57" s="5" t="n"/>
      <c r="H57" s="17" t="n"/>
    </row>
    <row r="58">
      <c r="A58" s="6" t="n"/>
      <c r="B58" s="7" t="n"/>
      <c r="C58" s="7" t="n"/>
      <c r="D58" s="7" t="n"/>
      <c r="E58" s="7" t="n"/>
      <c r="F58" s="7" t="n"/>
      <c r="G58" s="7" t="n"/>
      <c r="H58" s="17" t="n"/>
    </row>
    <row r="59">
      <c r="A59" s="4" t="n"/>
      <c r="B59" s="5" t="n"/>
      <c r="C59" s="5" t="n"/>
      <c r="D59" s="5" t="n"/>
      <c r="E59" s="5" t="n"/>
      <c r="F59" s="5" t="n"/>
      <c r="G59" s="5" t="n"/>
      <c r="H59" s="17" t="n"/>
    </row>
    <row r="60">
      <c r="A60" s="6" t="n"/>
      <c r="B60" s="7" t="n"/>
      <c r="C60" s="7" t="n"/>
      <c r="D60" s="7" t="n"/>
      <c r="E60" s="7" t="n"/>
      <c r="F60" s="7" t="n"/>
      <c r="G60" s="7" t="n"/>
      <c r="H60" s="17" t="n"/>
    </row>
    <row r="61">
      <c r="A61" s="4" t="n"/>
      <c r="B61" s="5" t="n"/>
      <c r="C61" s="5" t="n"/>
      <c r="D61" s="5" t="n"/>
      <c r="E61" s="5" t="n"/>
      <c r="F61" s="5" t="n"/>
      <c r="G61" s="5" t="n"/>
      <c r="H61" s="17" t="n"/>
    </row>
    <row r="62">
      <c r="A62" s="6" t="n"/>
      <c r="B62" s="7" t="n"/>
      <c r="C62" s="7" t="n"/>
      <c r="D62" s="7" t="n"/>
      <c r="E62" s="7" t="n"/>
      <c r="F62" s="7" t="n"/>
      <c r="G62" s="7" t="n"/>
      <c r="H62" s="17" t="n"/>
    </row>
    <row r="63">
      <c r="A63" s="4" t="n"/>
      <c r="B63" s="5" t="n"/>
      <c r="C63" s="5" t="n"/>
      <c r="D63" s="5" t="n"/>
      <c r="E63" s="5" t="n"/>
      <c r="F63" s="5" t="n"/>
      <c r="G63" s="5" t="n"/>
      <c r="H63" s="17" t="n"/>
    </row>
    <row r="64">
      <c r="A64" s="6" t="n"/>
      <c r="B64" s="7" t="n"/>
      <c r="C64" s="7" t="n"/>
      <c r="D64" s="7" t="n"/>
      <c r="E64" s="7" t="n"/>
      <c r="F64" s="7" t="n"/>
      <c r="G64" s="7" t="n"/>
      <c r="H64" s="17" t="n"/>
    </row>
    <row r="65">
      <c r="A65" s="4" t="n"/>
      <c r="B65" s="5" t="n"/>
      <c r="C65" s="5" t="n"/>
      <c r="D65" s="5" t="n"/>
      <c r="E65" s="5" t="n"/>
      <c r="F65" s="5" t="n"/>
      <c r="G65" s="5" t="n"/>
      <c r="H65" s="17" t="n"/>
    </row>
    <row r="66">
      <c r="A66" s="6" t="n"/>
      <c r="B66" s="7" t="n"/>
      <c r="C66" s="7" t="n"/>
      <c r="D66" s="7" t="n"/>
      <c r="E66" s="7" t="n"/>
      <c r="F66" s="7" t="n"/>
      <c r="G66" s="7" t="n"/>
      <c r="H66" s="17" t="n"/>
    </row>
    <row r="67">
      <c r="A67" s="4" t="n"/>
      <c r="B67" s="5" t="n"/>
      <c r="C67" s="5" t="n"/>
      <c r="D67" s="5" t="n"/>
      <c r="E67" s="5" t="n"/>
      <c r="F67" s="5" t="n"/>
      <c r="G67" s="5" t="n"/>
      <c r="H67" s="17" t="n"/>
    </row>
    <row r="68">
      <c r="A68" s="6" t="n"/>
      <c r="B68" s="7" t="n"/>
      <c r="C68" s="7" t="n"/>
      <c r="D68" s="7" t="n"/>
      <c r="E68" s="7" t="n"/>
      <c r="F68" s="7" t="n"/>
      <c r="G68" s="7" t="n"/>
      <c r="H68" s="17" t="n"/>
    </row>
    <row r="69">
      <c r="A69" s="4" t="n"/>
      <c r="B69" s="5" t="n"/>
      <c r="C69" s="5" t="n"/>
      <c r="D69" s="5" t="n"/>
      <c r="E69" s="5" t="n"/>
      <c r="F69" s="5" t="n"/>
      <c r="G69" s="5" t="n"/>
      <c r="H69" s="17" t="n"/>
    </row>
    <row r="70">
      <c r="A70" s="6" t="n"/>
      <c r="B70" s="7" t="n"/>
      <c r="C70" s="7" t="n"/>
      <c r="D70" s="7" t="n"/>
      <c r="E70" s="7" t="n"/>
      <c r="F70" s="7" t="n"/>
      <c r="G70" s="7" t="n"/>
      <c r="H70" s="17" t="n"/>
    </row>
    <row r="71">
      <c r="A71" s="4" t="n"/>
      <c r="B71" s="5" t="n"/>
      <c r="C71" s="5" t="n"/>
      <c r="D71" s="5" t="n"/>
      <c r="E71" s="5" t="n"/>
      <c r="F71" s="5" t="n"/>
      <c r="G71" s="5" t="n"/>
      <c r="H71" s="17" t="n"/>
    </row>
    <row r="72">
      <c r="A72" s="6" t="n"/>
      <c r="B72" s="7" t="n"/>
      <c r="C72" s="7" t="n"/>
      <c r="D72" s="7" t="n"/>
      <c r="E72" s="7" t="n"/>
      <c r="F72" s="7" t="n"/>
      <c r="G72" s="7" t="n"/>
      <c r="H72" s="17" t="n"/>
    </row>
    <row r="73">
      <c r="A73" s="4" t="n"/>
      <c r="B73" s="5" t="n"/>
      <c r="C73" s="5" t="n"/>
      <c r="D73" s="5" t="n"/>
      <c r="E73" s="5" t="n"/>
      <c r="F73" s="5" t="n"/>
      <c r="G73" s="5" t="n"/>
      <c r="H73" s="17" t="n"/>
    </row>
    <row r="74">
      <c r="A74" s="6" t="n"/>
      <c r="B74" s="7" t="n"/>
      <c r="C74" s="7" t="n"/>
      <c r="D74" s="7" t="n"/>
      <c r="E74" s="7" t="n"/>
      <c r="F74" s="7" t="n"/>
      <c r="G74" s="7" t="n"/>
      <c r="H74" s="17" t="n"/>
    </row>
    <row r="75">
      <c r="A75" s="4" t="n"/>
      <c r="B75" s="5" t="n"/>
      <c r="C75" s="5" t="n"/>
      <c r="D75" s="5" t="n"/>
      <c r="E75" s="5" t="n"/>
      <c r="F75" s="5" t="n"/>
      <c r="G75" s="5" t="n"/>
      <c r="H75" s="17" t="n"/>
    </row>
    <row r="76">
      <c r="A76" s="6" t="n"/>
      <c r="B76" s="7" t="n"/>
      <c r="C76" s="7" t="n"/>
      <c r="D76" s="7" t="n"/>
      <c r="E76" s="7" t="n"/>
      <c r="F76" s="7" t="n"/>
      <c r="G76" s="7" t="n"/>
      <c r="H76" s="17" t="n"/>
    </row>
    <row r="77">
      <c r="A77" s="4" t="n"/>
      <c r="B77" s="5" t="n"/>
      <c r="C77" s="5" t="n"/>
      <c r="D77" s="5" t="n"/>
      <c r="E77" s="5" t="n"/>
      <c r="F77" s="5" t="n"/>
      <c r="G77" s="5" t="n"/>
      <c r="H77" s="17" t="n"/>
    </row>
    <row r="78">
      <c r="A78" s="6" t="n"/>
      <c r="B78" s="7" t="n"/>
      <c r="C78" s="7" t="n"/>
      <c r="D78" s="7" t="n"/>
      <c r="E78" s="7" t="n"/>
      <c r="F78" s="7" t="n"/>
      <c r="G78" s="7" t="n"/>
      <c r="H78" s="17" t="n"/>
    </row>
    <row r="79">
      <c r="A79" s="4" t="n"/>
      <c r="B79" s="5" t="n"/>
      <c r="C79" s="5" t="n"/>
      <c r="D79" s="5" t="n"/>
      <c r="E79" s="5" t="n"/>
      <c r="F79" s="5" t="n"/>
      <c r="G79" s="5" t="n"/>
      <c r="H79" s="17" t="n"/>
    </row>
    <row r="80">
      <c r="A80" s="6" t="n"/>
      <c r="B80" s="7" t="n"/>
      <c r="C80" s="7" t="n"/>
      <c r="D80" s="7" t="n"/>
      <c r="E80" s="7" t="n"/>
      <c r="F80" s="7" t="n"/>
      <c r="G80" s="7" t="n"/>
      <c r="H80" s="17" t="n"/>
    </row>
    <row r="81">
      <c r="A81" s="4" t="n"/>
      <c r="B81" s="5" t="n"/>
      <c r="C81" s="5" t="n"/>
      <c r="D81" s="5" t="n"/>
      <c r="E81" s="5" t="n"/>
      <c r="F81" s="5" t="n"/>
      <c r="G81" s="5" t="n"/>
      <c r="H81" s="17" t="n"/>
    </row>
    <row r="82">
      <c r="A82" s="6" t="n"/>
      <c r="B82" s="7" t="n"/>
      <c r="C82" s="7" t="n"/>
      <c r="D82" s="7" t="n"/>
      <c r="E82" s="7" t="n"/>
      <c r="F82" s="7" t="n"/>
      <c r="G82" s="7" t="n"/>
      <c r="H82" s="17" t="n"/>
    </row>
    <row r="83">
      <c r="A83" s="4" t="n"/>
      <c r="B83" s="5" t="n"/>
      <c r="C83" s="5" t="n"/>
      <c r="D83" s="5" t="n"/>
      <c r="E83" s="5" t="n"/>
      <c r="F83" s="5" t="n"/>
      <c r="G83" s="5" t="n"/>
      <c r="H83" s="17" t="n"/>
    </row>
    <row r="84">
      <c r="A84" s="6" t="n"/>
      <c r="B84" s="7" t="n"/>
      <c r="C84" s="7" t="n"/>
      <c r="D84" s="7" t="n"/>
      <c r="E84" s="7" t="n"/>
      <c r="F84" s="7" t="n"/>
      <c r="G84" s="7" t="n"/>
      <c r="H84" s="17" t="n"/>
    </row>
    <row r="85">
      <c r="A85" s="4" t="n"/>
      <c r="B85" s="5" t="n"/>
      <c r="C85" s="5" t="n"/>
      <c r="D85" s="5" t="n"/>
      <c r="E85" s="5" t="n"/>
      <c r="F85" s="5" t="n"/>
      <c r="G85" s="5" t="n"/>
      <c r="H85" s="17" t="n"/>
    </row>
    <row r="86">
      <c r="A86" s="6" t="n"/>
      <c r="B86" s="7" t="n"/>
      <c r="C86" s="7" t="n"/>
      <c r="D86" s="7" t="n"/>
      <c r="E86" s="7" t="n"/>
      <c r="F86" s="7" t="n"/>
      <c r="G86" s="7" t="n"/>
      <c r="H86" s="17" t="n"/>
    </row>
    <row r="87">
      <c r="A87" s="4" t="n"/>
      <c r="B87" s="5" t="n"/>
      <c r="C87" s="5" t="n"/>
      <c r="D87" s="5" t="n"/>
      <c r="E87" s="5" t="n"/>
      <c r="F87" s="5" t="n"/>
      <c r="G87" s="5" t="n"/>
      <c r="H87" s="17" t="n"/>
    </row>
    <row r="88">
      <c r="A88" s="6" t="n"/>
      <c r="B88" s="7" t="n"/>
      <c r="C88" s="7" t="n"/>
      <c r="D88" s="7" t="n"/>
      <c r="E88" s="7" t="n"/>
      <c r="F88" s="7" t="n"/>
      <c r="G88" s="7" t="n"/>
      <c r="H88" s="17" t="n"/>
    </row>
    <row r="89">
      <c r="A89" s="4" t="n"/>
      <c r="B89" s="5" t="n"/>
      <c r="C89" s="5" t="n"/>
      <c r="D89" s="5" t="n"/>
      <c r="E89" s="5" t="n"/>
      <c r="F89" s="5" t="n"/>
      <c r="G89" s="5" t="n"/>
      <c r="H89" s="17" t="n"/>
    </row>
    <row r="90">
      <c r="A90" s="6" t="n"/>
      <c r="B90" s="7" t="n"/>
      <c r="C90" s="7" t="n"/>
      <c r="D90" s="7" t="n"/>
      <c r="E90" s="7" t="n"/>
      <c r="F90" s="7" t="n"/>
      <c r="G90" s="7" t="n"/>
      <c r="H90" s="17" t="n"/>
    </row>
    <row r="91">
      <c r="A91" s="4" t="n"/>
      <c r="B91" s="5" t="n"/>
      <c r="C91" s="5" t="n"/>
      <c r="D91" s="5" t="n"/>
      <c r="E91" s="5" t="n"/>
      <c r="F91" s="5" t="n"/>
      <c r="G91" s="5" t="n"/>
      <c r="H91" s="17" t="n"/>
    </row>
    <row r="92">
      <c r="A92" s="6" t="n"/>
      <c r="B92" s="7" t="n"/>
      <c r="C92" s="7" t="n"/>
      <c r="D92" s="7" t="n"/>
      <c r="E92" s="7" t="n"/>
      <c r="F92" s="7" t="n"/>
      <c r="G92" s="7" t="n"/>
      <c r="H92" s="17" t="n"/>
    </row>
    <row r="93">
      <c r="A93" s="4" t="n"/>
      <c r="B93" s="5" t="n"/>
      <c r="C93" s="5" t="n"/>
      <c r="D93" s="5" t="n"/>
      <c r="E93" s="5" t="n"/>
      <c r="F93" s="5" t="n"/>
      <c r="G93" s="5" t="n"/>
      <c r="H93" s="17" t="n"/>
    </row>
    <row r="94">
      <c r="A94" s="6" t="n"/>
      <c r="B94" s="7" t="n"/>
      <c r="C94" s="7" t="n"/>
      <c r="D94" s="7" t="n"/>
      <c r="E94" s="7" t="n"/>
      <c r="F94" s="7" t="n"/>
      <c r="G94" s="7" t="n"/>
      <c r="H94" s="17" t="n"/>
    </row>
    <row r="95">
      <c r="A95" s="4" t="n"/>
      <c r="B95" s="5" t="n"/>
      <c r="C95" s="5" t="n"/>
      <c r="D95" s="5" t="n"/>
      <c r="E95" s="5" t="n"/>
      <c r="F95" s="5" t="n"/>
      <c r="G95" s="5" t="n"/>
      <c r="H95" s="17" t="n"/>
    </row>
    <row r="96">
      <c r="A96" s="6" t="n"/>
      <c r="B96" s="7" t="n"/>
      <c r="C96" s="7" t="n"/>
      <c r="D96" s="7" t="n"/>
      <c r="E96" s="7" t="n"/>
      <c r="F96" s="7" t="n"/>
      <c r="G96" s="7" t="n"/>
      <c r="H96" s="17" t="n"/>
    </row>
    <row r="97">
      <c r="A97" s="4" t="n"/>
      <c r="B97" s="5" t="n"/>
      <c r="C97" s="5" t="n"/>
      <c r="D97" s="5" t="n"/>
      <c r="E97" s="5" t="n"/>
      <c r="F97" s="5" t="n"/>
      <c r="G97" s="5" t="n"/>
      <c r="H97" s="17" t="n"/>
    </row>
    <row r="98">
      <c r="A98" s="6" t="n"/>
      <c r="B98" s="7" t="n"/>
      <c r="C98" s="7" t="n"/>
      <c r="D98" s="7" t="n"/>
      <c r="E98" s="7" t="n"/>
      <c r="F98" s="7" t="n"/>
      <c r="G98" s="7" t="n"/>
      <c r="H98" s="17" t="n"/>
    </row>
    <row r="99">
      <c r="A99" s="4" t="n"/>
      <c r="B99" s="5" t="n"/>
      <c r="C99" s="5" t="n"/>
      <c r="D99" s="5" t="n"/>
      <c r="E99" s="5" t="n"/>
      <c r="F99" s="5" t="n"/>
      <c r="G99" s="5" t="n"/>
      <c r="H99" s="17" t="n"/>
    </row>
    <row r="100">
      <c r="A100" s="6" t="n"/>
      <c r="B100" s="7" t="n"/>
      <c r="C100" s="7" t="n"/>
      <c r="D100" s="7" t="n"/>
      <c r="E100" s="7" t="n"/>
      <c r="F100" s="7" t="n"/>
      <c r="G100" s="7" t="n"/>
      <c r="H100" s="17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17" t="n"/>
    </row>
    <row r="102">
      <c r="A102" s="6" t="n"/>
      <c r="B102" s="7" t="n"/>
      <c r="C102" s="7" t="n"/>
      <c r="D102" s="7" t="n"/>
      <c r="E102" s="7" t="n"/>
      <c r="F102" s="7" t="n"/>
      <c r="G102" s="7" t="n"/>
      <c r="H102" s="17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17" t="n"/>
    </row>
    <row r="104">
      <c r="A104" s="6" t="n"/>
      <c r="B104" s="7" t="n"/>
      <c r="C104" s="7" t="n"/>
      <c r="D104" s="7" t="n"/>
      <c r="E104" s="7" t="n"/>
      <c r="F104" s="7" t="n"/>
      <c r="G104" s="7" t="n"/>
      <c r="H104" s="17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17" t="n"/>
    </row>
    <row r="106">
      <c r="A106" s="6" t="n"/>
      <c r="B106" s="7" t="n"/>
      <c r="C106" s="7" t="n"/>
      <c r="D106" s="7" t="n"/>
      <c r="E106" s="7" t="n"/>
      <c r="F106" s="7" t="n"/>
      <c r="G106" s="7" t="n"/>
      <c r="H106" s="17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17" t="n"/>
    </row>
    <row r="108">
      <c r="A108" s="6" t="n"/>
      <c r="B108" s="7" t="n"/>
      <c r="C108" s="7" t="n"/>
      <c r="D108" s="7" t="n"/>
      <c r="E108" s="7" t="n"/>
      <c r="F108" s="7" t="n"/>
      <c r="G108" s="7" t="n"/>
      <c r="H108" s="17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17" t="n"/>
    </row>
    <row r="110">
      <c r="A110" s="6" t="n"/>
      <c r="B110" s="7" t="n"/>
      <c r="C110" s="7" t="n"/>
      <c r="D110" s="7" t="n"/>
      <c r="E110" s="7" t="n"/>
      <c r="F110" s="7" t="n"/>
      <c r="G110" s="7" t="n"/>
      <c r="H110" s="17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17" t="n"/>
    </row>
    <row r="112">
      <c r="A112" s="6" t="n"/>
      <c r="B112" s="7" t="n"/>
      <c r="C112" s="7" t="n"/>
      <c r="D112" s="7" t="n"/>
      <c r="E112" s="7" t="n"/>
      <c r="F112" s="7" t="n"/>
      <c r="G112" s="7" t="n"/>
      <c r="H112" s="17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17" t="n"/>
    </row>
    <row r="114">
      <c r="A114" s="6" t="n"/>
      <c r="B114" s="7" t="n"/>
      <c r="C114" s="7" t="n"/>
      <c r="D114" s="7" t="n"/>
      <c r="E114" s="7" t="n"/>
      <c r="F114" s="7" t="n"/>
      <c r="G114" s="7" t="n"/>
      <c r="H114" s="17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17" t="n"/>
    </row>
    <row r="116">
      <c r="A116" s="6" t="n"/>
      <c r="B116" s="7" t="n"/>
      <c r="C116" s="7" t="n"/>
      <c r="D116" s="7" t="n"/>
      <c r="E116" s="7" t="n"/>
      <c r="F116" s="7" t="n"/>
      <c r="G116" s="7" t="n"/>
      <c r="H116" s="17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17" t="n"/>
    </row>
    <row r="118">
      <c r="A118" s="6" t="n"/>
      <c r="B118" s="7" t="n"/>
      <c r="C118" s="7" t="n"/>
      <c r="D118" s="7" t="n"/>
      <c r="E118" s="7" t="n"/>
      <c r="F118" s="7" t="n"/>
      <c r="G118" s="7" t="n"/>
      <c r="H118" s="17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17" t="n"/>
    </row>
    <row r="120">
      <c r="A120" s="6" t="n"/>
      <c r="B120" s="7" t="n"/>
      <c r="C120" s="7" t="n"/>
      <c r="D120" s="7" t="n"/>
      <c r="E120" s="7" t="n"/>
      <c r="F120" s="7" t="n"/>
      <c r="G120" s="7" t="n"/>
      <c r="H120" s="17" t="n"/>
    </row>
    <row r="121">
      <c r="A121" s="4" t="n"/>
      <c r="B121" s="5" t="n"/>
      <c r="C121" s="5" t="n"/>
      <c r="D121" s="5" t="n"/>
      <c r="E121" s="5" t="n"/>
      <c r="F121" s="5" t="n"/>
      <c r="G121" s="5" t="n"/>
      <c r="H121" s="17" t="n"/>
    </row>
    <row r="122">
      <c r="A122" s="6" t="n"/>
      <c r="B122" s="7" t="n"/>
      <c r="C122" s="7" t="n"/>
      <c r="D122" s="7" t="n"/>
      <c r="E122" s="7" t="n"/>
      <c r="F122" s="7" t="n"/>
      <c r="G122" s="7" t="n"/>
      <c r="H122" s="17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2026-07-09T10:19:14Z</dcterms:created>
  <dcterms:modified xsi:type="dcterms:W3CDTF">2026-07-09T10:19:14Z</dcterms:modified>
</cp:coreProperties>
</file>